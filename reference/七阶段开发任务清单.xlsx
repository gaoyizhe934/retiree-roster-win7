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5e0b6f531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施工台账" sheetId="1" r:id="Ra9ae7fe59ef7453d"/>
    <x:sheet xmlns:r="http://schemas.openxmlformats.org/officeDocument/2006/relationships" name="每日 Gate" sheetId="2" r:id="Rd9c31a6457ed4fe8"/>
    <x:sheet xmlns:r="http://schemas.openxmlformats.org/officeDocument/2006/relationships" name="接口与证据" sheetId="3" r:id="Rf70e2011ca26459c"/>
    <x:sheet xmlns:r="http://schemas.openxmlformats.org/officeDocument/2006/relationships" name="技术债登记" sheetId="4" r:id="Ra9fa0cdf3cf3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F5FAFE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766dddc744645" /><Relationship Type="http://schemas.openxmlformats.org/officeDocument/2006/relationships/theme" Target="/xl/theme/theme1.xml" Id="Rc59e42f2f9824f93" /><Relationship Type="http://schemas.openxmlformats.org/officeDocument/2006/relationships/sharedStrings" Target="/xl/sharedStrings.xml" Id="R4af5dc7135404378" /><Relationship Type="http://schemas.openxmlformats.org/officeDocument/2006/relationships/worksheet" Target="/xl/worksheets/sheet1.xml" Id="Ra9ae7fe59ef7453d" /><Relationship Type="http://schemas.openxmlformats.org/officeDocument/2006/relationships/worksheet" Target="/xl/worksheets/sheet2.xml" Id="Rd9c31a6457ed4fe8" /><Relationship Type="http://schemas.openxmlformats.org/officeDocument/2006/relationships/worksheet" Target="/xl/worksheets/sheet3.xml" Id="Rf70e2011ca26459c" /><Relationship Type="http://schemas.openxmlformats.org/officeDocument/2006/relationships/worksheet" Target="/xl/worksheets/sheet4.xml" Id="Ra9fa0cdf3cf34201" /></Relationships>
</file>

<file path=xl/tables/table1.xml><?xml version="1.0" encoding="utf-8"?>
<x:table xmlns:x="http://schemas.openxmlformats.org/spreadsheetml/2006/main" id="1" name="DailyTaskLedger" displayName="DailyTaskLedger" ref="A8:K36" headerRowCount="1" totalsRowCount="0" totalsRowShown="0">
  <x:tableColumns count="11">
    <x:tableColumn id="1" name="工作日"/>
    <x:tableColumn id="2" name="Gate"/>
    <x:tableColumn id="3" name="负责人"/>
    <x:tableColumn id="4" name="当日目标"/>
    <x:tableColumn id="5" name="明细任务"/>
    <x:tableColumn id="6" name="交付物 / Definition of Done"/>
    <x:tableColumn id="7" name="非作者复核"/>
    <x:tableColumn id="8" name="完成"/>
    <x:tableColumn id="9" name="复核"/>
    <x:tableColumn id="10" name="合入"/>
    <x:tableColumn id="11" name="分支 / 提交 / PR / 测试 / VM 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Gates" displayName="DailyGates" ref="A5:F12" headerRowCount="1" totalsRowCount="0" totalsRowShown="0">
  <x:tableColumns count="6">
    <x:tableColumn id="1" name="工作日"/>
    <x:tableColumn id="2" name="Gate"/>
    <x:tableColumn id="3" name="进入条件"/>
    <x:tableColumn id="4" name="退出 / Go 条件"/>
    <x:tableColumn id="5" name="必须证据"/>
    <x:tableColumn id="6" name="R 结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chnicalDebtRegister" displayName="TechnicalDebtRegister" ref="A5:K15" headerRowCount="1" totalsRowCount="0" totalsRowShown="0">
  <x:tableColumns count="11">
    <x:tableColumn id="1" name="技术债编号"/>
    <x:tableColumn id="2" name="标题"/>
    <x:tableColumn id="3" name="类别"/>
    <x:tableColumn id="4" name="严重度"/>
    <x:tableColumn id="5" name="状态"/>
    <x:tableColumn id="6" name="责任人"/>
    <x:tableColumn id="7" name="复核人"/>
    <x:tableColumn id="8" name="关联任务/Gate"/>
    <x:tableColumn id="9" name="关联 PR/提交"/>
    <x:tableColumn id="10" name="计划关闭日"/>
    <x:tableColumn id="11" name="关闭验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8821b07f4040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c226e9348841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07bdad4452419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9" hidden="0" customWidth="1"/>
    <x:col min="2" max="2" width="11" hidden="0" customWidth="1"/>
    <x:col min="3" max="3" width="9" hidden="0" customWidth="1"/>
    <x:col min="4" max="4" width="18" hidden="0" customWidth="1"/>
    <x:col min="5" max="5" width="48" hidden="0" customWidth="1"/>
    <x:col min="6" max="6" width="40" hidden="0" customWidth="1"/>
    <x:col min="7" max="7" width="28" hidden="0" customWidth="1"/>
    <x:col min="8" max="8" width="8" hidden="0" customWidth="1"/>
    <x:col min="9" max="9" width="8" hidden="0" customWidth="1"/>
    <x:col min="10" max="10" width="8" hidden="0" customWidth="1"/>
    <x:col min="11" max="11" width="28" hidden="0" customWidth="1"/>
  </x:cols>
  <x:sheetData>
    <x:row r="2" ht="28" customHeight="1">
      <x:c r="A2" s="2" t="str">
        <x:v>退休人员名册打印小程序｜7 日 4 人施工台账</x:v>
      </x:c>
    </x:row>
    <x:row r="3" ht="21" customHeight="1">
      <x:c r="A3" s="4" t="str">
        <x:v>每行是一张“当天—角色”可验收任务卡；R 仅执行非作者复核与 Gate 判断。状态由实际执行时填写。</x:v>
      </x:c>
    </x:row>
    <x:row r="5" ht="42" customHeight="1">
      <x:c r="A5" s="9" t="str">
        <x:v>技术基线</x:v>
      </x:c>
      <x:c r="B5" s="8" t="str">
        <x:v>C++14 / VS2017 v141_xp / CMake 正式 + XMake 辅助 / Win32 / SQLite</x:v>
      </x:c>
      <x:c r="C5" s="9" t="str">
        <x:v>目标</x:v>
      </x:c>
      <x:c r="D5" s="8" t="str">
        <x:v>Win7 SP1 x86/x64 纯净 VM 通过 L3</x:v>
      </x:c>
      <x:c r="E5" s="9" t="str">
        <x:v>周期</x:v>
      </x:c>
      <x:c r="F5" s="8" t="str">
        <x:v>7 个连续工作日</x:v>
      </x:c>
      <x:c r="G5" s="9" t="str">
        <x:v>团队</x:v>
      </x:c>
      <x:c r="H5" s="8" t="str">
        <x:v>A、B、C、R</x:v>
      </x:c>
      <x:c r="I5" s="9" t="str">
        <x:v>状态符号</x:v>
      </x:c>
      <x:c r="J5" s="8" t="str">
        <x:v>□</x:v>
      </x:c>
    </x:row>
    <x:row r="6" ht="42" customHeight="1">
      <x:c r="A6" s="9" t="str">
        <x:v>发行包</x:v>
      </x:c>
      <x:c r="B6" s="8" t="str">
        <x:v>CMake Win32 Release；/MT；目标机无需 VC++、.NET、Office、Java、Python</x:v>
      </x:c>
      <x:c r="C6" s="9" t="str">
        <x:v>审查规则</x:v>
      </x:c>
      <x:c r="D6" s="8" t="str">
        <x:v>作者不得复核自己的交付；每个 Gate 由 R 签认</x:v>
      </x:c>
      <x:c r="E6" s="9" t="str">
        <x:v>Git 规则</x:v>
      </x:c>
      <x:c r="F6" s="8" t="str">
        <x:v>仅在获授权后执行；命名遵循协作规范</x:v>
      </x:c>
      <x:c r="G6" s="9" t="str">
        <x:v>VM 快照</x:v>
      </x:c>
      <x:c r="H6" s="8" t="str">
        <x:v>00_Base → 10_DevCheck → 20_ReleaseClean</x:v>
      </x:c>
      <x:c r="I6" s="9" t="str">
        <x:v>证据</x:v>
      </x:c>
      <x:c r="J6" s="8" t="str">
        <x:v>L0-L3</x:v>
      </x:c>
    </x:row>
    <x:row r="8" ht="34" customHeight="1">
      <x:c r="A8" s="15" t="str">
        <x:v>工作日</x:v>
      </x:c>
      <x:c r="B8" s="15" t="str">
        <x:v>Gate</x:v>
      </x:c>
      <x:c r="C8" s="15" t="str">
        <x:v>负责人</x:v>
      </x:c>
      <x:c r="D8" s="15" t="str">
        <x:v>当日目标</x:v>
      </x:c>
      <x:c r="E8" s="15" t="str">
        <x:v>明细任务</x:v>
      </x:c>
      <x:c r="F8" s="15" t="str">
        <x:v>交付物 / Definition of Done</x:v>
      </x:c>
      <x:c r="G8" s="15" t="str">
        <x:v>非作者复核</x:v>
      </x:c>
      <x:c r="H8" s="15" t="str">
        <x:v>完成</x:v>
      </x:c>
      <x:c r="I8" s="15" t="str">
        <x:v>复核</x:v>
      </x:c>
      <x:c r="J8" s="15" t="str">
        <x:v>合入</x:v>
      </x:c>
      <x:c r="K8" s="15" t="str">
        <x:v>分支 / 提交 / PR / 测试 / VM 证据</x:v>
      </x:c>
    </x:row>
    <x:row r="9" ht="92" customHeight="1">
      <x:c r="A9" s="16" t="str">
        <x:v>D1</x:v>
      </x:c>
      <x:c r="B9" s="16" t="str">
        <x:v>Gate 0</x:v>
      </x:c>
      <x:c r="C9" s="16" t="str">
        <x:v>A</x:v>
      </x:c>
      <x:c r="D9" s="8" t="str">
        <x:v>数据边界冻结</x:v>
      </x:c>
      <x:c r="E9" s="8" t="str">
        <x:v>盘点两份 Excel 的工作表、表头、类型、主键候选和重复风险；建立 Person、Tag、ImportBatch、PrintTemplate 字段字典与源列映射。</x:v>
      </x:c>
      <x:c r="F9" s="8" t="str">
        <x:v>数据字典 v1、源表映射表、重复候选规则；字段缺失与待确认项显式登记。</x:v>
      </x:c>
      <x:c r="G9" s="8" t="str">
        <x:v>R 对字段覆盖、不物理删除规则与待确认项逐项复核。</x:v>
      </x:c>
      <x:c r="H9" s="19" t="str">
        <x:v>□</x:v>
      </x:c>
      <x:c r="I9" s="19" t="str">
        <x:v>□</x:v>
      </x:c>
      <x:c r="J9" s="19" t="str">
        <x:v>□</x:v>
      </x:c>
      <x:c r="K9" s="8" t="str">
        <x:v>L0：字段盘点与映射表</x:v>
      </x:c>
    </x:row>
    <x:row r="10" ht="92" customHeight="1">
      <x:c r="A10" s="16" t="str">
        <x:v>D1</x:v>
      </x:c>
      <x:c r="B10" s="16" t="str">
        <x:v>Gate 0</x:v>
      </x:c>
      <x:c r="C10" s="16" t="str">
        <x:v>B</x:v>
      </x:c>
      <x:c r="D10" s="8" t="str">
        <x:v>使用流程冻结</x:v>
      </x:c>
      <x:c r="E10" s="8" t="str">
        <x:v>完成 Win32 页面流转：首次启动、导入、人员维护、筛选、模板、预览；定义大字号、键盘 Tab 顺序、控件清单和三类模板参数。</x:v>
      </x:c>
      <x:c r="F10" s="8" t="str">
        <x:v>页面流转图、控件清单、三类默认模板参数表；界面不直接访问数据文件。</x:v>
      </x:c>
      <x:c r="G10" s="8" t="str">
        <x:v>R 按维护人员的无技术背景操作步骤复核。</x:v>
      </x:c>
      <x:c r="H10" s="19" t="str">
        <x:v>□</x:v>
      </x:c>
      <x:c r="I10" s="19" t="str">
        <x:v>□</x:v>
      </x:c>
      <x:c r="J10" s="19" t="str">
        <x:v>□</x:v>
      </x:c>
      <x:c r="K10" s="8" t="str">
        <x:v>L0：原型与操作步骤</x:v>
      </x:c>
    </x:row>
    <x:row r="11" ht="92" customHeight="1">
      <x:c r="A11" s="16" t="str">
        <x:v>D1</x:v>
      </x:c>
      <x:c r="B11" s="16" t="str">
        <x:v>Gate 0</x:v>
      </x:c>
      <x:c r="C11" s="16" t="str">
        <x:v>C</x:v>
      </x:c>
      <x:c r="D11" s="8" t="str">
        <x:v>环境与 VM 基线</x:v>
      </x:c>
      <x:c r="E11" s="8" t="str">
        <x:v>安装 VS2017 v141_xp、CMake 3.15、XMake 2.9.x；创建 Win7 SP1 6.1.7601 x86、x64 VirtualBox VM；确认 SP1 基线、无 VC++ 运行库、无 Office，并建立 00_Base。</x:v>
      </x:c>
      <x:c r="F11" s="8" t="str">
        <x:v>构建环境记录、CMake/XMake 版本记录、两台 VM 版本截图、00_Base 快照名、脱敏样表传入路径。</x:v>
      </x:c>
      <x:c r="G11" s="8" t="str">
        <x:v>R 核对系统版本、架构及未安装运行库/Office。</x:v>
      </x:c>
      <x:c r="H11" s="19" t="str">
        <x:v>□</x:v>
      </x:c>
      <x:c r="I11" s="19" t="str">
        <x:v>□</x:v>
      </x:c>
      <x:c r="J11" s="19" t="str">
        <x:v>□</x:v>
      </x:c>
      <x:c r="K11" s="8" t="str">
        <x:v>L0：VM 基线与快照</x:v>
      </x:c>
    </x:row>
    <x:row r="12" ht="92" customHeight="1">
      <x:c r="A12" s="16" t="str">
        <x:v>D1</x:v>
      </x:c>
      <x:c r="B12" s="16" t="str">
        <x:v>Gate 0</x:v>
      </x:c>
      <x:c r="C12" s="16" t="str">
        <x:v>R</x:v>
      </x:c>
      <x:c r="D12" s="8" t="str">
        <x:v>范围与技术 Gate</x:v>
      </x:c>
      <x:c r="E12" s="8" t="str">
        <x:v>把需求拆为可验收范围；确认 C++14、Win32、SQLite、xlsxio_read、libxlsxwriter 的唯一职责、许可证待核项和技术债入口。</x:v>
      </x:c>
      <x:c r="F12" s="8" t="str">
        <x:v>Gate 0 结论、技术栈冻结记录、未决项清单；A/B/C 同一边界签认。</x:v>
      </x:c>
      <x:c r="G12" s="8" t="str">
        <x:v>非作者审查 A/B/C 的基线材料；未结项不得隐性写进实现。</x:v>
      </x:c>
      <x:c r="H12" s="19" t="str">
        <x:v>□</x:v>
      </x:c>
      <x:c r="I12" s="19" t="str">
        <x:v>□</x:v>
      </x:c>
      <x:c r="J12" s="19" t="str">
        <x:v>□</x:v>
      </x:c>
      <x:c r="K12" s="8" t="str">
        <x:v>L0：Gate 0 评审记录</x:v>
      </x:c>
    </x:row>
    <x:row r="13" ht="92" customHeight="1">
      <x:c r="A13" s="17" t="str">
        <x:v>D2</x:v>
      </x:c>
      <x:c r="B13" s="17" t="str">
        <x:v>Gate 1</x:v>
      </x:c>
      <x:c r="C13" s="17" t="str">
        <x:v>A</x:v>
      </x:c>
      <x:c r="D13" s="18" t="str">
        <x:v>领域与数据骨架</x:v>
      </x:c>
      <x:c r="E13" s="18" t="str">
        <x:v>建立 domain/application/repository；定义 Person、FilterSpec、Result、错误码；实现 SQLite 初始化、schema_version、参数化查询入口和备份目录。</x:v>
      </x:c>
      <x:c r="F13" s="18" t="str">
        <x:v>数据库骨架、初始化日志、领域契约测试；person_id 不复用，去世只变更状态。</x:v>
      </x:c>
      <x:c r="G13" s="18" t="str">
        <x:v>R 检查事务边界、迁移版本与不物理删除约束。</x:v>
      </x:c>
      <x:c r="H13" s="19" t="str">
        <x:v>□</x:v>
      </x:c>
      <x:c r="I13" s="19" t="str">
        <x:v>□</x:v>
      </x:c>
      <x:c r="J13" s="19" t="str">
        <x:v>□</x:v>
      </x:c>
      <x:c r="K13" s="18" t="str">
        <x:v>L1：领域/仓储测试</x:v>
      </x:c>
    </x:row>
    <x:row r="14" ht="92" customHeight="1">
      <x:c r="A14" s="17" t="str">
        <x:v>D2</x:v>
      </x:c>
      <x:c r="B14" s="17" t="str">
        <x:v>Gate 1</x:v>
      </x:c>
      <x:c r="C14" s="17" t="str">
        <x:v>B</x:v>
      </x:c>
      <x:c r="D14" s="18" t="str">
        <x:v>原生界面骨架</x:v>
      </x:c>
      <x:c r="E14" s="18" t="str">
        <x:v>建立 Win32 主窗口、导航、统一字体缩放、错误提示组件、人员列表空骨架；页面仅调用应用服务接口。</x:v>
      </x:c>
      <x:c r="F14" s="18" t="str">
        <x:v>可启动空界面、导航截图、键盘 Tab 顺序表。</x:v>
      </x:c>
      <x:c r="G14" s="18" t="str">
        <x:v>R 检查 UI 无数据库/xlsx 直连与隐藏破坏性操作。</x:v>
      </x:c>
      <x:c r="H14" s="19" t="str">
        <x:v>□</x:v>
      </x:c>
      <x:c r="I14" s="19" t="str">
        <x:v>□</x:v>
      </x:c>
      <x:c r="J14" s="19" t="str">
        <x:v>□</x:v>
      </x:c>
      <x:c r="K14" s="18" t="str">
        <x:v>L1：启动与交互截图</x:v>
      </x:c>
    </x:row>
    <x:row r="15" ht="92" customHeight="1">
      <x:c r="A15" s="17" t="str">
        <x:v>D2</x:v>
      </x:c>
      <x:c r="B15" s="17" t="str">
        <x:v>Gate 1</x:v>
      </x:c>
      <x:c r="C15" s="17" t="str">
        <x:v>C</x:v>
      </x:c>
      <x:c r="D15" s="18" t="str">
        <x:v>双构建配置</x:v>
      </x:c>
      <x:c r="E15" s="18" t="str">
        <x:v>建立 CMakeLists.txt（正式）与 xmake.lua（辅助镜像），均锁定 Win32 Release、C++14、MSVC2017 v141_xp、Unicode、/MT、0x0601；分别执行构建/测试，候选包仅由 CMake install 生成。</x:v>
      </x:c>
      <x:c r="F15" s="18" t="str">
        <x:v>CMake/XMake 命令与配置对照、32 位 CMake 候选 exe、依赖检查、两台 Win7 SP1 VM 启动证据。</x:v>
      </x:c>
      <x:c r="G15" s="18" t="str">
        <x:v>R 在 x86/x64 VM 仅复核 CMake 候选包。</x:v>
      </x:c>
      <x:c r="H15" s="19" t="str">
        <x:v>□</x:v>
      </x:c>
      <x:c r="I15" s="19" t="str">
        <x:v>□</x:v>
      </x:c>
      <x:c r="J15" s="19" t="str">
        <x:v>□</x:v>
      </x:c>
      <x:c r="K15" s="18" t="str">
        <x:v>L1：双构建日志与 VM 启动</x:v>
      </x:c>
    </x:row>
    <x:row r="16" ht="92" customHeight="1">
      <x:c r="A16" s="17" t="str">
        <x:v>D2</x:v>
      </x:c>
      <x:c r="B16" s="17" t="str">
        <x:v>Gate 1</x:v>
      </x:c>
      <x:c r="C16" s="17" t="str">
        <x:v>R</x:v>
      </x:c>
      <x:c r="D16" s="18" t="str">
        <x:v>接口冻结</x:v>
      </x:c>
      <x:c r="E16" s="18" t="str">
        <x:v>审查模块边界、公共错误码、日志脱敏、可写目录和许可证；冻结接口 v1，后续共享结构变动必须记录。</x:v>
      </x:c>
      <x:c r="F16" s="18" t="str">
        <x:v>接口冻结表、Gate 1 结论、整改项与责任人。</x:v>
      </x:c>
      <x:c r="G16" s="18" t="str">
        <x:v>非作者审查 A/B/C 的实际产物与接口表差异。</x:v>
      </x:c>
      <x:c r="H16" s="19" t="str">
        <x:v>□</x:v>
      </x:c>
      <x:c r="I16" s="19" t="str">
        <x:v>□</x:v>
      </x:c>
      <x:c r="J16" s="19" t="str">
        <x:v>□</x:v>
      </x:c>
      <x:c r="K16" s="18" t="str">
        <x:v>L1：Gate 1 评审</x:v>
      </x:c>
    </x:row>
    <x:row r="17" ht="92" customHeight="1">
      <x:c r="A17" s="16" t="str">
        <x:v>D3</x:v>
      </x:c>
      <x:c r="B17" s="16" t="str">
        <x:v>Gate 2</x:v>
      </x:c>
      <x:c r="C17" s="16" t="str">
        <x:v>A</x:v>
      </x:c>
      <x:c r="D17" s="8" t="str">
        <x:v>xlsx 导入与维护服务</x:v>
      </x:c>
      <x:c r="E17" s="8" t="str">
        <x:v>接入 xlsxio_read 0.2.35；实现工作表选择、表头读取、映射、日期/枚举校验、重复候选、预检确认后的事务写入及人员状态维护。</x:v>
      </x:c>
      <x:c r="F17" s="8" t="str">
        <x:v>导入服务、异常行报告、ImportBatch、人员维护服务；失败导入不污染正式 Person。</x:v>
      </x:c>
      <x:c r="G17" s="8" t="str">
        <x:v>R 用缺列、错日期、重复、错枚举样表复测。</x:v>
      </x:c>
      <x:c r="H17" s="19" t="str">
        <x:v>□</x:v>
      </x:c>
      <x:c r="I17" s="19" t="str">
        <x:v>□</x:v>
      </x:c>
      <x:c r="J17" s="19" t="str">
        <x:v>□</x:v>
      </x:c>
      <x:c r="K17" s="8" t="str">
        <x:v>L1 服务测试；L2 无 Office 导入</x:v>
      </x:c>
    </x:row>
    <x:row r="18" ht="92" customHeight="1">
      <x:c r="A18" s="16" t="str">
        <x:v>D3</x:v>
      </x:c>
      <x:c r="B18" s="16" t="str">
        <x:v>Gate 2</x:v>
      </x:c>
      <x:c r="C18" s="16" t="str">
        <x:v>B</x:v>
      </x:c>
      <x:c r="D18" s="8" t="str">
        <x:v>导入与维护界面</x:v>
      </x:c>
      <x:c r="E18" s="8" t="str">
        <x:v>实现文件选择、工作表/映射确认、预检汇总、错误清单、确认导入、人员列表与详情编辑；敏感字段默认脱敏。</x:v>
      </x:c>
      <x:c r="F18" s="8" t="str">
        <x:v>导入向导、人员列表、详情页和可定位的错误反馈。</x:v>
      </x:c>
      <x:c r="G18" s="8" t="str">
        <x:v>R 按首次使用者路径检查是否能纠正错误行。</x:v>
      </x:c>
      <x:c r="H18" s="19" t="str">
        <x:v>□</x:v>
      </x:c>
      <x:c r="I18" s="19" t="str">
        <x:v>□</x:v>
      </x:c>
      <x:c r="J18" s="19" t="str">
        <x:v>□</x:v>
      </x:c>
      <x:c r="K18" s="8" t="str">
        <x:v>L1：UI 冒烟</x:v>
      </x:c>
    </x:row>
    <x:row r="19" ht="92" customHeight="1">
      <x:c r="A19" s="16" t="str">
        <x:v>D3</x:v>
      </x:c>
      <x:c r="B19" s="16" t="str">
        <x:v>Gate 2</x:v>
      </x:c>
      <x:c r="C19" s="16" t="str">
        <x:v>C</x:v>
      </x:c>
      <x:c r="D19" s="8" t="str">
        <x:v>导入测试与恢复</x:v>
      </x:c>
      <x:c r="E19" s="8" t="str">
        <x:v>制作正常、缺失、重复、错列、错日期样本；在 VM 验证路径、中文文件名、未装 Excel；执行首次备份恢复。</x:v>
      </x:c>
      <x:c r="F19" s="8" t="str">
        <x:v>L1/L2 导入日志、样本清单、备份恢复记录。</x:v>
      </x:c>
      <x:c r="G19" s="8" t="str">
        <x:v>R 对导入前后人数、异常数和恢复后字段抽查。</x:v>
      </x:c>
      <x:c r="H19" s="19" t="str">
        <x:v>□</x:v>
      </x:c>
      <x:c r="I19" s="19" t="str">
        <x:v>□</x:v>
      </x:c>
      <x:c r="J19" s="19" t="str">
        <x:v>□</x:v>
      </x:c>
      <x:c r="K19" s="8" t="str">
        <x:v>L2：VM 导入/恢复</x:v>
      </x:c>
    </x:row>
    <x:row r="20" ht="92" customHeight="1">
      <x:c r="A20" s="16" t="str">
        <x:v>D3</x:v>
      </x:c>
      <x:c r="B20" s="16" t="str">
        <x:v>Gate 2</x:v>
      </x:c>
      <x:c r="C20" s="16" t="str">
        <x:v>R</x:v>
      </x:c>
      <x:c r="D20" s="8" t="str">
        <x:v>导入 Gate</x:v>
      </x:c>
      <x:c r="E20" s="8" t="str">
        <x:v>人工抽查导入前后人数、异常数、重复候选数和去世状态变更；审查回滚、错误分级和数据保护路径。</x:v>
      </x:c>
      <x:c r="F20" s="8" t="str">
        <x:v>Gate 2 结果、抽查表、问题分级。</x:v>
      </x:c>
      <x:c r="G20" s="8" t="str">
        <x:v>不得用跳过异常行掩盖数据问题。</x:v>
      </x:c>
      <x:c r="H20" s="19" t="str">
        <x:v>□</x:v>
      </x:c>
      <x:c r="I20" s="19" t="str">
        <x:v>□</x:v>
      </x:c>
      <x:c r="J20" s="19" t="str">
        <x:v>□</x:v>
      </x:c>
      <x:c r="K20" s="8" t="str">
        <x:v>L1/L2：Gate 2 复核</x:v>
      </x:c>
    </x:row>
    <x:row r="21" ht="92" customHeight="1">
      <x:c r="A21" s="17" t="str">
        <x:v>D4</x:v>
      </x:c>
      <x:c r="B21" s="17" t="str">
        <x:v>Gate 3</x:v>
      </x:c>
      <x:c r="C21" s="17" t="str">
        <x:v>A</x:v>
      </x:c>
      <x:c r="D21" s="18" t="str">
        <x:v>规则与筛选服务</x:v>
      </x:c>
      <x:c r="E21" s="18" t="str">
        <x:v>实现周岁、当年年龄、党龄、重阳节、党龄50周年、状态/类别/级别/标签组合筛选、统计、拼音排序与当次序号。</x:v>
      </x:c>
      <x:c r="F21" s="18" t="str">
        <x:v>规则引擎、单元测试、筛选 DTO；固定编号不变，所有消费者读取同一结果。</x:v>
      </x:c>
      <x:c r="G21" s="18" t="str">
        <x:v>R 审核边界算例与固定编号。</x:v>
      </x:c>
      <x:c r="H21" s="19" t="str">
        <x:v>□</x:v>
      </x:c>
      <x:c r="I21" s="19" t="str">
        <x:v>□</x:v>
      </x:c>
      <x:c r="J21" s="19" t="str">
        <x:v>□</x:v>
      </x:c>
      <x:c r="K21" s="18" t="str">
        <x:v>L1：规则测试</x:v>
      </x:c>
    </x:row>
    <x:row r="22" ht="92" customHeight="1">
      <x:c r="A22" s="17" t="str">
        <x:v>D4</x:v>
      </x:c>
      <x:c r="B22" s="17" t="str">
        <x:v>Gate 3</x:v>
      </x:c>
      <x:c r="C22" s="17" t="str">
        <x:v>B</x:v>
      </x:c>
      <x:c r="D22" s="18" t="str">
        <x:v>筛选与结果界面</x:v>
      </x:c>
      <x:c r="E22" s="18" t="str">
        <x:v>实现快捷入口、高级筛选、条件重置、结果表、列选择、保存筛选方案和多音字排序键编辑；展示条件与人数。</x:v>
      </x:c>
      <x:c r="F22" s="18" t="str">
        <x:v>筛选界面、四类常用快捷场景、结果截图。</x:v>
      </x:c>
      <x:c r="G22" s="18" t="str">
        <x:v>R 用重阳节、党龄、状态组合、标签组合四场景复测。</x:v>
      </x:c>
      <x:c r="H22" s="19" t="str">
        <x:v>□</x:v>
      </x:c>
      <x:c r="I22" s="19" t="str">
        <x:v>□</x:v>
      </x:c>
      <x:c r="J22" s="19" t="str">
        <x:v>□</x:v>
      </x:c>
      <x:c r="K22" s="18" t="str">
        <x:v>L1：交互记录</x:v>
      </x:c>
    </x:row>
    <x:row r="23" ht="92" customHeight="1">
      <x:c r="A23" s="17" t="str">
        <x:v>D4</x:v>
      </x:c>
      <x:c r="B23" s="17" t="str">
        <x:v>Gate 3</x:v>
      </x:c>
      <x:c r="C23" s="17" t="str">
        <x:v>C</x:v>
      </x:c>
      <x:c r="D23" s="18" t="str">
        <x:v>边界数据与 VM 回归</x:v>
      </x:c>
      <x:c r="E23" s="18" t="str">
        <x:v>构建跨年、生日、闰日、70/75/80/85/90、党龄50、空日期、组合条件测试库；在两台 VM 运行筛选。</x:v>
      </x:c>
      <x:c r="F23" s="18" t="str">
        <x:v>测试数据、期望结果、L2 日志、截图与性能记录。</x:v>
      </x:c>
      <x:c r="G23" s="18" t="str">
        <x:v>R 人工复算抽样，确认无 API/区域设置差异。</x:v>
      </x:c>
      <x:c r="H23" s="19" t="str">
        <x:v>□</x:v>
      </x:c>
      <x:c r="I23" s="19" t="str">
        <x:v>□</x:v>
      </x:c>
      <x:c r="J23" s="19" t="str">
        <x:v>□</x:v>
      </x:c>
      <x:c r="K23" s="18" t="str">
        <x:v>L2：Win7 筛选</x:v>
      </x:c>
    </x:row>
    <x:row r="24" ht="92" customHeight="1">
      <x:c r="A24" s="17" t="str">
        <x:v>D4</x:v>
      </x:c>
      <x:c r="B24" s="17" t="str">
        <x:v>Gate 3</x:v>
      </x:c>
      <x:c r="C24" s="17" t="str">
        <x:v>R</x:v>
      </x:c>
      <x:c r="D24" s="18" t="str">
        <x:v>规则 Gate</x:v>
      </x:c>
      <x:c r="E24" s="18" t="str">
        <x:v>以人工算表对照结果；检查 UI、导出、打印不各自重算业务规则；问题归为规则缺陷、数据缺失或待甲方确认。</x:v>
      </x:c>
      <x:c r="F24" s="18" t="str">
        <x:v>Gate 3 规则验收表、问题归类。</x:v>
      </x:c>
      <x:c r="G24" s="18" t="str">
        <x:v>未通过边界样本不得接入模板或交付。</x:v>
      </x:c>
      <x:c r="H24" s="19" t="str">
        <x:v>□</x:v>
      </x:c>
      <x:c r="I24" s="19" t="str">
        <x:v>□</x:v>
      </x:c>
      <x:c r="J24" s="19" t="str">
        <x:v>□</x:v>
      </x:c>
      <x:c r="K24" s="18" t="str">
        <x:v>L1/L2：Gate 3 复核</x:v>
      </x:c>
    </x:row>
    <x:row r="25" ht="92" customHeight="1">
      <x:c r="A25" s="16" t="str">
        <x:v>D5</x:v>
      </x:c>
      <x:c r="B25" s="16" t="str">
        <x:v>Gate 4</x:v>
      </x:c>
      <x:c r="C25" s="16" t="str">
        <x:v>A</x:v>
      </x:c>
      <x:c r="D25" s="8" t="str">
        <x:v>导出与模板存储</x:v>
      </x:c>
      <x:c r="E25" s="8" t="str">
        <x:v>接入 libxlsxwriter 1.1.5；按模板输出标题、列宽、字号、汇总、页码、重复表头、打印区域、自动分页；持久化模板参数。</x:v>
      </x:c>
      <x:c r="F25" s="8" t="str">
        <x:v>导出服务、三类 xlsx、模板存储、非法参数校验；不调用 Excel COM。</x:v>
      </x:c>
      <x:c r="G25" s="8" t="str">
        <x:v>R 比对导出与筛选人数、顺序、字段和编号。</x:v>
      </x:c>
      <x:c r="H25" s="19" t="str">
        <x:v>□</x:v>
      </x:c>
      <x:c r="I25" s="19" t="str">
        <x:v>□</x:v>
      </x:c>
      <x:c r="J25" s="19" t="str">
        <x:v>□</x:v>
      </x:c>
      <x:c r="K25" s="8" t="str">
        <x:v>L1 导出测试；L2 xlsx 验证</x:v>
      </x:c>
    </x:row>
    <x:row r="26" ht="92" customHeight="1">
      <x:c r="A26" s="16" t="str">
        <x:v>D5</x:v>
      </x:c>
      <x:c r="B26" s="16" t="str">
        <x:v>Gate 4</x:v>
      </x:c>
      <x:c r="C26" s="16" t="str">
        <x:v>B</x:v>
      </x:c>
      <x:c r="D26" s="8" t="str">
        <x:v>模板、预览与打印</x:v>
      </x:c>
      <x:c r="E26" s="8" t="str">
        <x:v>实现字段勾选、列序、字号、签字栏、纸张、方向、边距、每页人数；用 GDI 实现预览和打印。</x:v>
      </x:c>
      <x:c r="F26" s="8" t="str">
        <x:v>模板中心、三类默认模板、GDI 预览页、打印反馈。</x:v>
      </x:c>
      <x:c r="G26" s="8" t="str">
        <x:v>R 逐页检查 A4 纵横向、字体放大和可读性。</x:v>
      </x:c>
      <x:c r="H26" s="19" t="str">
        <x:v>□</x:v>
      </x:c>
      <x:c r="I26" s="19" t="str">
        <x:v>□</x:v>
      </x:c>
      <x:c r="J26" s="19" t="str">
        <x:v>□</x:v>
      </x:c>
      <x:c r="K26" s="8" t="str">
        <x:v>L1：预览/打印交互</x:v>
      </x:c>
    </x:row>
    <x:row r="27" ht="92" customHeight="1">
      <x:c r="A27" s="16" t="str">
        <x:v>D5</x:v>
      </x:c>
      <x:c r="B27" s="16" t="str">
        <x:v>Gate 4</x:v>
      </x:c>
      <x:c r="C27" s="16" t="str">
        <x:v>C</x:v>
      </x:c>
      <x:c r="D27" s="8" t="str">
        <x:v>纯净机输出验证</x:v>
      </x:c>
      <x:c r="E27" s="8" t="str">
        <x:v>在两台 Win7 VM 使用 Microsoft XPS Document Writer 或测试打印机，执行预览、打印、导出；在验证机打开 xlsx 仅作格式检查。</x:v>
      </x:c>
      <x:c r="F27" s="8" t="str">
        <x:v>L2 打印证据、XPS/PDF 或打印记录、xlsx 打开验证。</x:v>
      </x:c>
      <x:c r="G27" s="8" t="str">
        <x:v>R 核对纯净机无 Office 仍可导出、预览、打印。</x:v>
      </x:c>
      <x:c r="H27" s="19" t="str">
        <x:v>□</x:v>
      </x:c>
      <x:c r="I27" s="19" t="str">
        <x:v>□</x:v>
      </x:c>
      <x:c r="J27" s="19" t="str">
        <x:v>□</x:v>
      </x:c>
      <x:c r="K27" s="8" t="str">
        <x:v>L2：VM 打印/导出</x:v>
      </x:c>
    </x:row>
    <x:row r="28" ht="92" customHeight="1">
      <x:c r="A28" s="16" t="str">
        <x:v>D5</x:v>
      </x:c>
      <x:c r="B28" s="16" t="str">
        <x:v>Gate 4</x:v>
      </x:c>
      <x:c r="C28" s="16" t="str">
        <x:v>R</x:v>
      </x:c>
      <x:c r="D28" s="8" t="str">
        <x:v>输出 Gate</x:v>
      </x:c>
      <x:c r="E28" s="8" t="str">
        <x:v>检查截断、空白页、孤立表头、签字栏、页码、列宽和大字号；确认新增模板只改配置，不改筛选核心。</x:v>
      </x:c>
      <x:c r="F28" s="8" t="str">
        <x:v>Gate 4 模板验收记录、缺陷清单。</x:v>
      </x:c>
      <x:c r="G28" s="8" t="str">
        <x:v>不允许以人工二次排版替代程序输出。</x:v>
      </x:c>
      <x:c r="H28" s="19" t="str">
        <x:v>□</x:v>
      </x:c>
      <x:c r="I28" s="19" t="str">
        <x:v>□</x:v>
      </x:c>
      <x:c r="J28" s="19" t="str">
        <x:v>□</x:v>
      </x:c>
      <x:c r="K28" s="8" t="str">
        <x:v>L1/L2：逐页检查</x:v>
      </x:c>
    </x:row>
    <x:row r="29" ht="92" customHeight="1">
      <x:c r="A29" s="17" t="str">
        <x:v>D6</x:v>
      </x:c>
      <x:c r="B29" s="17" t="str">
        <x:v>Gate 5</x:v>
      </x:c>
      <x:c r="C29" s="17" t="str">
        <x:v>A</x:v>
      </x:c>
      <x:c r="D29" s="18" t="str">
        <x:v>集成与数据完整性</x:v>
      </x:c>
      <x:c r="E29" s="18" t="str">
        <x:v>修复数据、规则、导出、恢复端到端问题；完成操作日志、导入批次查询、升级保留数据检查和迁移对账。</x:v>
      </x:c>
      <x:c r="F29" s="18" t="str">
        <x:v>候选核心包、迁移报告、恢复报告；P0/P1 为零。</x:v>
      </x:c>
      <x:c r="G29" s="18" t="str">
        <x:v>R 核对迁移前后总人数、状态数、关键分类统计。</x:v>
      </x:c>
      <x:c r="H29" s="19" t="str">
        <x:v>□</x:v>
      </x:c>
      <x:c r="I29" s="19" t="str">
        <x:v>□</x:v>
      </x:c>
      <x:c r="J29" s="19" t="str">
        <x:v>□</x:v>
      </x:c>
      <x:c r="K29" s="18" t="str">
        <x:v>L2：端到端对账</x:v>
      </x:c>
    </x:row>
    <x:row r="30" ht="92" customHeight="1">
      <x:c r="A30" s="17" t="str">
        <x:v>D6</x:v>
      </x:c>
      <x:c r="B30" s="17" t="str">
        <x:v>Gate 5</x:v>
      </x:c>
      <x:c r="C30" s="17" t="str">
        <x:v>B</x:v>
      </x:c>
      <x:c r="D30" s="18" t="str">
        <x:v>可用性收口</x:v>
      </x:c>
      <x:c r="E30" s="18" t="str">
        <x:v>完成首次启动向导、空状态、错误提示、帮助、快捷入口；编写用户/管理员手册与非技术人员演示步骤。</x:v>
      </x:c>
      <x:c r="F30" s="18" t="str">
        <x:v>用户手册、管理员步骤、演示脚本和截图。</x:v>
      </x:c>
      <x:c r="G30" s="18" t="str">
        <x:v>R 严格按手册独立走通，不接受口头辅助。</x:v>
      </x:c>
      <x:c r="H30" s="19" t="str">
        <x:v>□</x:v>
      </x:c>
      <x:c r="I30" s="19" t="str">
        <x:v>□</x:v>
      </x:c>
      <x:c r="J30" s="19" t="str">
        <x:v>□</x:v>
      </x:c>
      <x:c r="K30" s="18" t="str">
        <x:v>L2：独立操作</x:v>
      </x:c>
    </x:row>
    <x:row r="31" ht="92" customHeight="1">
      <x:c r="A31" s="17" t="str">
        <x:v>D6</x:v>
      </x:c>
      <x:c r="B31" s="17" t="str">
        <x:v>Gate 5</x:v>
      </x:c>
      <x:c r="C31" s="17" t="str">
        <x:v>C</x:v>
      </x:c>
      <x:c r="D31" s="18" t="str">
        <x:v>L3 干净快照回归</x:v>
      </x:c>
      <x:c r="E31" s="18" t="str">
        <x:v>从 00_Base 恢复两台 VM；部署候选包，执行首次启动、导入、筛选、导出、预览、打印、恢复；归档版本、命令、截图、日志。</x:v>
      </x:c>
      <x:c r="F31" s="18" t="str">
        <x:v>L3 回归包、快照记录、依赖检查、测试日志。</x:v>
      </x:c>
      <x:c r="G31" s="18" t="str">
        <x:v>R 核对证据均来自当前候选版本与纯净快照。</x:v>
      </x:c>
      <x:c r="H31" s="19" t="str">
        <x:v>□</x:v>
      </x:c>
      <x:c r="I31" s="19" t="str">
        <x:v>□</x:v>
      </x:c>
      <x:c r="J31" s="19" t="str">
        <x:v>□</x:v>
      </x:c>
      <x:c r="K31" s="18" t="str">
        <x:v>L3：Win7 SP1 x86/x64</x:v>
      </x:c>
    </x:row>
    <x:row r="32" ht="92" customHeight="1">
      <x:c r="A32" s="17" t="str">
        <x:v>D6</x:v>
      </x:c>
      <x:c r="B32" s="17" t="str">
        <x:v>Gate 5</x:v>
      </x:c>
      <x:c r="C32" s="17" t="str">
        <x:v>R</x:v>
      </x:c>
      <x:c r="D32" s="18" t="str">
        <x:v>发布 Gate</x:v>
      </x:c>
      <x:c r="E32" s="18" t="str">
        <x:v>主持 Bug/Blocker/Risk/TD 分类；复核依赖、许可证、日志脱敏、交付包完整性和版本一致性。</x:v>
      </x:c>
      <x:c r="F32" s="18" t="str">
        <x:v>Gate 5 发布结论、技术债登记、待修列表。</x:v>
      </x:c>
      <x:c r="G32" s="18" t="str">
        <x:v>Critical=0、未安排 High=0、L3 不完整即阻断。</x:v>
      </x:c>
      <x:c r="H32" s="19" t="str">
        <x:v>□</x:v>
      </x:c>
      <x:c r="I32" s="19" t="str">
        <x:v>□</x:v>
      </x:c>
      <x:c r="J32" s="19" t="str">
        <x:v>□</x:v>
      </x:c>
      <x:c r="K32" s="18" t="str">
        <x:v>L3：发布审查</x:v>
      </x:c>
    </x:row>
    <x:row r="33" ht="92" customHeight="1">
      <x:c r="A33" s="16" t="str">
        <x:v>D7</x:v>
      </x:c>
      <x:c r="B33" s="16" t="str">
        <x:v>Gate 6</x:v>
      </x:c>
      <x:c r="C33" s="16" t="str">
        <x:v>A</x:v>
      </x:c>
      <x:c r="D33" s="8" t="str">
        <x:v>最终包与技术封存</x:v>
      </x:c>
      <x:c r="E33" s="8" t="str">
        <x:v>处理试运行中的明确数据/规则问题；锁定数据库结构、依赖版本、构建说明和变更记录，生成最终 exe 与清单。</x:v>
      </x:c>
      <x:c r="F33" s="8" t="str">
        <x:v>最终核心包、数据库说明、依赖/许可证清单、可复现构建记录。</x:v>
      </x:c>
      <x:c r="G33" s="8" t="str">
        <x:v>R 审查候选与最终构建差异和可复现性。</x:v>
      </x:c>
      <x:c r="H33" s="19" t="str">
        <x:v>□</x:v>
      </x:c>
      <x:c r="I33" s="19" t="str">
        <x:v>□</x:v>
      </x:c>
      <x:c r="J33" s="19" t="str">
        <x:v>□</x:v>
      </x:c>
      <x:c r="K33" s="8" t="str">
        <x:v>L3：最终构建校验</x:v>
      </x:c>
    </x:row>
    <x:row r="34" ht="92" customHeight="1">
      <x:c r="A34" s="16" t="str">
        <x:v>D7</x:v>
      </x:c>
      <x:c r="B34" s="16" t="str">
        <x:v>Gate 6</x:v>
      </x:c>
      <x:c r="C34" s="16" t="str">
        <x:v>B</x:v>
      </x:c>
      <x:c r="D34" s="8" t="str">
        <x:v>试运行与培训</x:v>
      </x:c>
      <x:c r="E34" s="8" t="str">
        <x:v>培训维护人员导入、修改、筛选、模板调整、预览、打印；记录易用性问题，仅修复验收范围内明确问题。</x:v>
      </x:c>
      <x:c r="F34" s="8" t="str">
        <x:v>用户手册、模板维护说明、常见问题、培训记录。</x:v>
      </x:c>
      <x:c r="G34" s="8" t="str">
        <x:v>R 观察独立完成率与失败点。</x:v>
      </x:c>
      <x:c r="H34" s="19" t="str">
        <x:v>□</x:v>
      </x:c>
      <x:c r="I34" s="19" t="str">
        <x:v>□</x:v>
      </x:c>
      <x:c r="J34" s="19" t="str">
        <x:v>□</x:v>
      </x:c>
      <x:c r="K34" s="8" t="str">
        <x:v>L2：试运行</x:v>
      </x:c>
    </x:row>
    <x:row r="35" ht="92" customHeight="1">
      <x:c r="A35" s="16" t="str">
        <x:v>D7</x:v>
      </x:c>
      <x:c r="B35" s="16" t="str">
        <x:v>Gate 6</x:v>
      </x:c>
      <x:c r="C35" s="16" t="str">
        <x:v>C</x:v>
      </x:c>
      <x:c r="D35" s="8" t="str">
        <x:v>最终 VM 与交付清单</x:v>
      </x:c>
      <x:c r="E35" s="8" t="str">
        <x:v>从 00_Base 执行最终 L3；封存 VM 证据；准备便携包与安装式目录，生成校验值与交付目录清单。</x:v>
      </x:c>
      <x:c r="F35" s="8" t="str">
        <x:v>最终测试报告、校验值、交付目录清单。</x:v>
      </x:c>
      <x:c r="G35" s="8" t="str">
        <x:v>R 复核无开发残留、外部 DLL、机器特定路径。</x:v>
      </x:c>
      <x:c r="H35" s="19" t="str">
        <x:v>□</x:v>
      </x:c>
      <x:c r="I35" s="19" t="str">
        <x:v>□</x:v>
      </x:c>
      <x:c r="J35" s="19" t="str">
        <x:v>□</x:v>
      </x:c>
      <x:c r="K35" s="8" t="str">
        <x:v>L3：最终 VM 回归</x:v>
      </x:c>
    </x:row>
    <x:row r="36" ht="92" customHeight="1">
      <x:c r="A36" s="16" t="str">
        <x:v>D7</x:v>
      </x:c>
      <x:c r="B36" s="16" t="str">
        <x:v>Gate 6</x:v>
      </x:c>
      <x:c r="C36" s="16" t="str">
        <x:v>R</x:v>
      </x:c>
      <x:c r="D36" s="8" t="str">
        <x:v>验收与遗留项</x:v>
      </x:c>
      <x:c r="E36" s="8" t="str">
        <x:v>组织验收用例逐项确认，核对交付包、未决事项、技术债和后续变更入口；未验证项保留真实状态。</x:v>
      </x:c>
      <x:c r="F36" s="8" t="str">
        <x:v>Gate 6 验收报告、遗留事项、签字页。</x:v>
      </x:c>
      <x:c r="G36" s="8" t="str">
        <x:v>非作者复核 A/B/C 的最终交付物和全部证据。</x:v>
      </x:c>
      <x:c r="H36" s="19" t="str">
        <x:v>□</x:v>
      </x:c>
      <x:c r="I36" s="19" t="str">
        <x:v>□</x:v>
      </x:c>
      <x:c r="J36" s="19" t="str">
        <x:v>□</x:v>
      </x:c>
      <x:c r="K36" s="8" t="str">
        <x:v>L3：验收签认</x:v>
      </x:c>
    </x:row>
    <x:row r="38">
      <x:c r="A38" s="15" t="str">
        <x:v>执行统计</x:v>
      </x:c>
      <x:c r="B38" s="15" t="str">
        <x:v>任务总数</x:v>
      </x:c>
      <x:c r="C38" s="15" t="str">
        <x:v>已完成</x:v>
      </x:c>
      <x:c r="D38" s="15" t="str">
        <x:v>已复核</x:v>
      </x:c>
      <x:c r="E38" s="15" t="str">
        <x:v>已合入</x:v>
      </x:c>
      <x:c r="F38" s="15" t="str">
        <x:v>A 完成</x:v>
      </x:c>
      <x:c r="G38" s="15" t="str">
        <x:v>B 完成</x:v>
      </x:c>
      <x:c r="H38" s="15" t="str">
        <x:v>C 完成</x:v>
      </x:c>
      <x:c r="I38" s="15" t="str">
        <x:v>R 完成</x:v>
      </x:c>
      <x:c r="J38" s="15" t="str">
        <x:v>阻塞项</x:v>
      </x:c>
      <x:c r="K38" s="15" t="str">
        <x:v>填写说明</x:v>
      </x:c>
    </x:row>
    <x:row r="39">
      <x:c r="A39" s="16" t="str">
        <x:v>当前进度</x:v>
      </x:c>
      <x:c r="B39" s="16" t="n">
        <x:f>COUNTA(C9:C36)</x:f>
        <x:v>28</x:v>
      </x:c>
      <x:c r="C39" s="16" t="n">
        <x:f>COUNTIF(H9:H36,"√")</x:f>
        <x:v>0</x:v>
      </x:c>
      <x:c r="D39" s="16" t="n">
        <x:f>COUNTIF(I9:I36,"√")</x:f>
        <x:v>0</x:v>
      </x:c>
      <x:c r="E39" s="16" t="n">
        <x:f>COUNTIF(J9:J36,"√")</x:f>
        <x:v>0</x:v>
      </x:c>
      <x:c r="F39" s="16" t="n">
        <x:f>COUNTIFS(C9:C36,"A",H9:H36,"√")</x:f>
        <x:v>0</x:v>
      </x:c>
      <x:c r="G39" s="16" t="n">
        <x:f>COUNTIFS(C9:C36,"B",H9:H36,"√")</x:f>
        <x:v>0</x:v>
      </x:c>
      <x:c r="H39" s="16" t="n">
        <x:f>COUNTIFS(C9:C36,"C",H9:H36,"√")</x:f>
        <x:v>0</x:v>
      </x:c>
      <x:c r="I39" s="16" t="n">
        <x:f>COUNTIFS(C9:C36,"R",H9:H36,"√")</x:f>
        <x:v>0</x:v>
      </x:c>
      <x:c r="J39" s="16" t="n">
        <x:f>COUNTIF(H9:J36,"阻塞")</x:f>
        <x:v>0</x:v>
      </x:c>
      <x:c r="K39" s="20" t="str">
        <x:v>只填 √ 或 阻塞；Git 操作须另获用户授权。</x:v>
      </x:c>
    </x:row>
    <x:row r="40">
      <x:c r="A40" s="21" t="str">
        <x:v>角色映射</x:v>
      </x:c>
      <x:c r="B40" s="21" t="str">
        <x:v>A：数据/规则/导入导出</x:v>
      </x:c>
      <x:c r="C40" s="21" t="str">
        <x:v>B：Win32 UI/模板/打印</x:v>
      </x:c>
      <x:c r="D40" s="21" t="str">
        <x:v>C：构建/依赖/VirtualBox</x:v>
      </x:c>
      <x:c r="E40" s="21" t="str">
        <x:v>R：需求/测试/Gate</x:v>
      </x:c>
      <x:c r="F40" s="8" t="str"/>
      <x:c r="G40" s="8" t="str"/>
      <x:c r="H40" s="8" t="str"/>
      <x:c r="I40" s="8" t="str"/>
      <x:c r="J40" s="8" t="str"/>
      <x:c r="K40" s="8" t="str"/>
    </x:row>
  </x:sheetData>
  <x:mergeCells>
    <x:mergeCell ref="A2:K2"/>
    <x:mergeCell ref="A3:K3"/>
  </x:mergeCells>
  <x:conditionalFormatting sqref="H9:J36">
    <x:cfRule type="containsText" dxfId="0" priority="1" operator="containsText" text="√"/>
    <x:cfRule type="containsText" dxfId="1" priority="2" operator="containsText" text="阻塞"/>
  </x:conditionalFormatting>
  <x:dataValidations count="1">
    <x:dataValidation type="list" sqref="H9:J36">
      <x:formula1>"□,√,阻塞"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8821b07f4040e2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34" hidden="0" customWidth="1"/>
    <x:col min="4" max="4" width="48" hidden="0" customWidth="1"/>
    <x:col min="5" max="5" width="34" hidden="0" customWidth="1"/>
    <x:col min="6" max="6" width="18" hidden="0" customWidth="1"/>
  </x:cols>
  <x:sheetData>
    <x:row r="2" ht="28" customHeight="1">
      <x:c r="A2" s="2" t="str">
        <x:v>每日 Gate 与发布门禁</x:v>
      </x:c>
    </x:row>
    <x:row r="3" ht="21" customHeight="1">
      <x:c r="A3" s="4" t="str">
        <x:v>Gate 失败即停留在当天处理；不得以口头承诺代替测试或评审证据。</x:v>
      </x:c>
    </x:row>
    <x:row r="5" ht="32" customHeight="1">
      <x:c r="A5" s="15" t="str">
        <x:v>工作日</x:v>
      </x:c>
      <x:c r="B5" s="15" t="str">
        <x:v>Gate</x:v>
      </x:c>
      <x:c r="C5" s="15" t="str">
        <x:v>进入条件</x:v>
      </x:c>
      <x:c r="D5" s="15" t="str">
        <x:v>退出 / Go 条件</x:v>
      </x:c>
      <x:c r="E5" s="15" t="str">
        <x:v>必须证据</x:v>
      </x:c>
      <x:c r="F5" s="15" t="str">
        <x:v>R 结论</x:v>
      </x:c>
    </x:row>
    <x:row r="6" ht="62" customHeight="1">
      <x:c r="A6" s="16" t="str">
        <x:v>D1</x:v>
      </x:c>
      <x:c r="B6" s="16" t="str">
        <x:v>Gate 0 基线冻结</x:v>
      </x:c>
      <x:c r="C6" s="8" t="str">
        <x:v>样表、需求边界、技术栈、VM、模块职责</x:v>
      </x:c>
      <x:c r="D6" s="8" t="str">
        <x:v>字段字典、页面流程、00_Base、接口/风险登记已评审</x:v>
      </x:c>
      <x:c r="E6" s="8" t="str">
        <x:v>两台 VM 基线；SP1 6.1.7601；无 Office/VC++ 运行库</x:v>
      </x:c>
      <x:c r="F6" s="19" t="str">
        <x:v>□ 通过  □ 阻断</x:v>
      </x:c>
    </x:row>
    <x:row r="7" ht="62" customHeight="1">
      <x:c r="A7" s="16" t="str">
        <x:v>D2</x:v>
      </x:c>
      <x:c r="B7" s="16" t="str">
        <x:v>Gate 1 工程骨架</x:v>
      </x:c>
      <x:c r="C7" s="8" t="str">
        <x:v>C++14 工程、目录、公共接口、空 UI</x:v>
      </x:c>
      <x:c r="D7" s="8" t="str">
        <x:v>Win32 Release 空程序在 Win7 SP1 x86/x64 均启动；接口 v1 冻结</x:v>
      </x:c>
      <x:c r="E7" s="8" t="str">
        <x:v>L1 两台 VM 启动与依赖检查</x:v>
      </x:c>
      <x:c r="F7" s="19" t="str">
        <x:v>□ 通过  □ 阻断</x:v>
      </x:c>
    </x:row>
    <x:row r="8" ht="62" customHeight="1">
      <x:c r="A8" s="16" t="str">
        <x:v>D3</x:v>
      </x:c>
      <x:c r="B8" s="16" t="str">
        <x:v>Gate 2 导入维护</x:v>
      </x:c>
      <x:c r="C8" s="8" t="str">
        <x:v>预检、映射、入库、错误、备份恢复</x:v>
      </x:c>
      <x:c r="D8" s="8" t="str">
        <x:v>异常输入不污染正式库；维护和恢复可验证</x:v>
      </x:c>
      <x:c r="E8" s="8" t="str">
        <x:v>L2 无 Office 导入与恢复</x:v>
      </x:c>
      <x:c r="F8" s="19" t="str">
        <x:v>□ 通过  □ 阻断</x:v>
      </x:c>
    </x:row>
    <x:row r="9" ht="62" customHeight="1">
      <x:c r="A9" s="16" t="str">
        <x:v>D4</x:v>
      </x:c>
      <x:c r="B9" s="16" t="str">
        <x:v>Gate 3 规则筛选</x:v>
      </x:c>
      <x:c r="C9" s="8" t="str">
        <x:v>年龄、党龄、组合筛选、排序、统计</x:v>
      </x:c>
      <x:c r="D9" s="8" t="str">
        <x:v>边界算例与人工算表一致；所有模块共用筛选结果</x:v>
      </x:c>
      <x:c r="E9" s="8" t="str">
        <x:v>L2 边界数据回归</x:v>
      </x:c>
      <x:c r="F9" s="19" t="str">
        <x:v>□ 通过  □ 阻断</x:v>
      </x:c>
    </x:row>
    <x:row r="10" ht="62" customHeight="1">
      <x:c r="A10" s="16" t="str">
        <x:v>D5</x:v>
      </x:c>
      <x:c r="B10" s="16" t="str">
        <x:v>Gate 4 模板导出</x:v>
      </x:c>
      <x:c r="C10" s="8" t="str">
        <x:v>三类模板、xlsx、GDI 预览和打印</x:v>
      </x:c>
      <x:c r="D10" s="8" t="str">
        <x:v>A4 无截断/空白页；无 Office 亦可导出预览打印</x:v>
      </x:c>
      <x:c r="E10" s="8" t="str">
        <x:v>L2 XPS/打印与 xlsx 验证</x:v>
      </x:c>
      <x:c r="F10" s="19" t="str">
        <x:v>□ 通过  □ 阻断</x:v>
      </x:c>
    </x:row>
    <x:row r="11" ht="62" customHeight="1">
      <x:c r="A11" s="16" t="str">
        <x:v>D6</x:v>
      </x:c>
      <x:c r="B11" s="16" t="str">
        <x:v>Gate 5 发布候选</x:v>
      </x:c>
      <x:c r="C11" s="8" t="str">
        <x:v>端到端、数据迁移、用户手册、候选包</x:v>
      </x:c>
      <x:c r="D11" s="8" t="str">
        <x:v>P0/P1=0；从 00_Base 通过完整 L3</x:v>
      </x:c>
      <x:c r="E11" s="8" t="str">
        <x:v>L3 x86/x64 纯净快照</x:v>
      </x:c>
      <x:c r="F11" s="19" t="str">
        <x:v>□ 通过  □ 阻断</x:v>
      </x:c>
    </x:row>
    <x:row r="12" ht="62" customHeight="1">
      <x:c r="A12" s="16" t="str">
        <x:v>D7</x:v>
      </x:c>
      <x:c r="B12" s="16" t="str">
        <x:v>Gate 6 验收交付</x:v>
      </x:c>
      <x:c r="C12" s="8" t="str">
        <x:v>试运行、培训、最终包、验收归档</x:v>
      </x:c>
      <x:c r="D12" s="8" t="str">
        <x:v>甲方独立完成主流程；包、证据、遗留项齐全</x:v>
      </x:c>
      <x:c r="E12" s="8" t="str">
        <x:v>最终 L3 与校验值</x:v>
      </x:c>
      <x:c r="F12" s="19" t="str">
        <x:v>□ 通过  □ 阻断</x:v>
      </x:c>
    </x:row>
    <x:row r="14" ht="30" customHeight="1">
      <x:c r="A14" s="15" t="str">
        <x:v>测试层</x:v>
      </x:c>
      <x:c r="B14" s="15" t="str">
        <x:v>运行位置</x:v>
      </x:c>
      <x:c r="C14" s="15" t="str">
        <x:v>覆盖范围</x:v>
      </x:c>
      <x:c r="D14" s="15" t="str">
        <x:v>触发时机</x:v>
      </x:c>
      <x:c r="E14" s="15" t="str">
        <x:v>保存证据</x:v>
      </x:c>
      <x:c r="F14" s="15" t="str">
        <x:v>判定</x:v>
      </x:c>
    </x:row>
    <x:row r="15" ht="45" customHeight="1">
      <x:c r="A15" s="8" t="str">
        <x:v>L0</x:v>
      </x:c>
      <x:c r="B15" s="8" t="str">
        <x:v>开发机</x:v>
      </x:c>
      <x:c r="C15" s="8" t="str">
        <x:v>字段、原型、接口、样例</x:v>
      </x:c>
      <x:c r="D15" s="8" t="str">
        <x:v>D1</x:v>
      </x:c>
      <x:c r="E15" s="8" t="str">
        <x:v>文档、截图、评审记录</x:v>
      </x:c>
      <x:c r="F15" s="8" t="str">
        <x:v>基线一致</x:v>
      </x:c>
    </x:row>
    <x:row r="16" ht="45" customHeight="1">
      <x:c r="A16" s="8" t="str">
        <x:v>L1</x:v>
      </x:c>
      <x:c r="B16" s="8" t="str">
        <x:v>开发机</x:v>
      </x:c>
      <x:c r="C16" s="8" t="str">
        <x:v>领域/服务单元与模块冒烟</x:v>
      </x:c>
      <x:c r="D16" s="8" t="str">
        <x:v>D2-D5</x:v>
      </x:c>
      <x:c r="E16" s="8" t="str">
        <x:v>CTest/自建测试日志</x:v>
      </x:c>
      <x:c r="F16" s="8" t="str">
        <x:v>每次构建通过</x:v>
      </x:c>
    </x:row>
    <x:row r="17" ht="45" customHeight="1">
      <x:c r="A17" s="8" t="str">
        <x:v>L2</x:v>
      </x:c>
      <x:c r="B17" s="8" t="str">
        <x:v>Win7 SP1 VM</x:v>
      </x:c>
      <x:c r="C17" s="8" t="str">
        <x:v>功能、中文路径、无 Office、导出/打印</x:v>
      </x:c>
      <x:c r="D17" s="8" t="str">
        <x:v>D3-D6</x:v>
      </x:c>
      <x:c r="E17" s="8" t="str">
        <x:v>截图、日志、输出文件</x:v>
      </x:c>
      <x:c r="F17" s="8" t="str">
        <x:v>功能链路通过</x:v>
      </x:c>
    </x:row>
    <x:row r="18" ht="45" customHeight="1">
      <x:c r="A18" s="8" t="str">
        <x:v>L3</x:v>
      </x:c>
      <x:c r="B18" s="8" t="str">
        <x:v>00_Base 恢复后的 Win7 SP1 x86/x64 VM</x:v>
      </x:c>
      <x:c r="C18" s="8" t="str">
        <x:v>纯净部署、首次启动到恢复全流程</x:v>
      </x:c>
      <x:c r="D18" s="8" t="str">
        <x:v>D6、D7</x:v>
      </x:c>
      <x:c r="E18" s="8" t="str">
        <x:v>快照名、版本、日志、校验值</x:v>
      </x:c>
      <x:c r="F18" s="8" t="str">
        <x:v>发行/交付门槛</x:v>
      </x:c>
    </x:row>
  </x:sheetData>
  <x:mergeCells>
    <x:mergeCell ref="A2:F2"/>
    <x:mergeCell ref="A3:F3"/>
  </x:mergeCells>
  <x:dataValidations count="1">
    <x:dataValidation type="list" sqref="F6:F12">
      <x:formula1>"□ 通过  □ 阻断,√ 通过,阻断"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c226e9348841c1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37" hidden="0" customWidth="1"/>
    <x:col min="3" max="3" width="33" hidden="0" customWidth="1"/>
    <x:col min="4" max="4" width="30" hidden="0" customWidth="1"/>
    <x:col min="5" max="5" width="14" hidden="0" customWidth="1"/>
    <x:col min="6" max="6" width="20" hidden="0" customWidth="1"/>
  </x:cols>
  <x:sheetData>
    <x:row r="2" ht="28" customHeight="1">
      <x:c r="A2" s="2" t="str">
        <x:v>接口边界与证据归档</x:v>
      </x:c>
    </x:row>
    <x:row r="3" ht="21" customHeight="1">
      <x:c r="A3" s="4" t="str">
        <x:v>A/B/C 不跨越模块职责；R 按非作者审查规则留存证据。</x:v>
      </x:c>
    </x:row>
    <x:row r="5" ht="32" customHeight="1">
      <x:c r="A5" s="15" t="str">
        <x:v>模块</x:v>
      </x:c>
      <x:c r="B5" s="15" t="str">
        <x:v>唯一职责</x:v>
      </x:c>
      <x:c r="C5" s="15" t="str">
        <x:v>公开输入 / 输出</x:v>
      </x:c>
      <x:c r="D5" s="15" t="str">
        <x:v>不得承担</x:v>
      </x:c>
      <x:c r="E5" s="15" t="str">
        <x:v>实现负责人</x:v>
      </x:c>
      <x:c r="F5" s="15" t="str">
        <x:v>复核</x:v>
      </x:c>
    </x:row>
    <x:row r="6" ht="58" customHeight="1">
      <x:c r="A6" s="8" t="str">
        <x:v>Win32 UI</x:v>
      </x:c>
      <x:c r="B6" s="8" t="str">
        <x:v>页面、输入采集、显示 Result</x:v>
      </x:c>
      <x:c r="C6" s="8" t="str">
        <x:v>Application Service DTO / Result</x:v>
      </x:c>
      <x:c r="D6" s="8" t="str">
        <x:v>SQLite、xlsx 文件、业务计算</x:v>
      </x:c>
      <x:c r="E6" s="16" t="str">
        <x:v>B</x:v>
      </x:c>
      <x:c r="F6" s="16" t="str">
        <x:v>R</x:v>
      </x:c>
    </x:row>
    <x:row r="7" ht="58" customHeight="1">
      <x:c r="A7" s="8" t="str">
        <x:v>Application</x:v>
      </x:c>
      <x:c r="B7" s="8" t="str">
        <x:v>导入、维护、筛选、导出、备份编排</x:v>
      </x:c>
      <x:c r="C7" s="8" t="str">
        <x:v>DTO / ErrorCode / Result</x:v>
      </x:c>
      <x:c r="D7" s="8" t="str">
        <x:v>窗口过程、SQL 字符串拼接</x:v>
      </x:c>
      <x:c r="E7" s="16" t="str">
        <x:v>A</x:v>
      </x:c>
      <x:c r="F7" s="16" t="str">
        <x:v>R</x:v>
      </x:c>
    </x:row>
    <x:row r="8" ht="58" customHeight="1">
      <x:c r="A8" s="8" t="str">
        <x:v>Domain</x:v>
      </x:c>
      <x:c r="B8" s="8" t="str">
        <x:v>年龄、党龄、筛选、编号、排序</x:v>
      </x:c>
      <x:c r="C8" s="8" t="str">
        <x:v>Person / FilterSpec → ResultSet</x:v>
      </x:c>
      <x:c r="D8" s="8" t="str">
        <x:v>文件读写、UI 状态</x:v>
      </x:c>
      <x:c r="E8" s="16" t="str">
        <x:v>A</x:v>
      </x:c>
      <x:c r="F8" s="16" t="str">
        <x:v>R</x:v>
      </x:c>
    </x:row>
    <x:row r="9" ht="58" customHeight="1">
      <x:c r="A9" s="8" t="str">
        <x:v>Repository</x:v>
      </x:c>
      <x:c r="B9" s="8" t="str">
        <x:v>SQLite 事务、参数化查询、备份元数据</x:v>
      </x:c>
      <x:c r="C9" s="8" t="str">
        <x:v>领域对象 ↔ SQLite</x:v>
      </x:c>
      <x:c r="D9" s="8" t="str">
        <x:v>打印版式、xlsx 样式</x:v>
      </x:c>
      <x:c r="E9" s="16" t="str">
        <x:v>A</x:v>
      </x:c>
      <x:c r="F9" s="16" t="str">
        <x:v>R</x:v>
      </x:c>
    </x:row>
    <x:row r="10" ht="58" customHeight="1">
      <x:c r="A10" s="8" t="str">
        <x:v>xlsx Adapter</x:v>
      </x:c>
      <x:c r="B10" s="8" t="str">
        <x:v>读取源表、写出可打印 xlsx</x:v>
      </x:c>
      <x:c r="C10" s="8" t="str">
        <x:v>路径/映射 ↔ 行数据/xlsx</x:v>
      </x:c>
      <x:c r="D10" s="8" t="str">
        <x:v>业务口径判断</x:v>
      </x:c>
      <x:c r="E10" s="16" t="str">
        <x:v>A</x:v>
      </x:c>
      <x:c r="F10" s="16" t="str">
        <x:v>R</x:v>
      </x:c>
    </x:row>
    <x:row r="11" ht="58" customHeight="1">
      <x:c r="A11" s="8" t="str">
        <x:v>Print Adapter</x:v>
      </x:c>
      <x:c r="B11" s="8" t="str">
        <x:v>GDI 预览与物理打印</x:v>
      </x:c>
      <x:c r="C11" s="8" t="str">
        <x:v>PrintModel → 页/打印结果</x:v>
      </x:c>
      <x:c r="D11" s="8" t="str">
        <x:v>重新筛选、修改数据库</x:v>
      </x:c>
      <x:c r="E11" s="16" t="str">
        <x:v>B</x:v>
      </x:c>
      <x:c r="F11" s="16" t="str">
        <x:v>R</x:v>
      </x:c>
    </x:row>
    <x:row r="14" ht="30" customHeight="1">
      <x:c r="A14" s="15" t="str">
        <x:v>交付物</x:v>
      </x:c>
      <x:c r="B14" s="15" t="str">
        <x:v>固定位置 / 形态</x:v>
      </x:c>
      <x:c r="C14" s="15" t="str">
        <x:v>负责人</x:v>
      </x:c>
      <x:c r="D14" s="15" t="str">
        <x:v>复核</x:v>
      </x:c>
      <x:c r="E14" s="15" t="str">
        <x:v>最晚工作日</x:v>
      </x:c>
      <x:c r="F14" s="15" t="str">
        <x:v>验收证据</x:v>
      </x:c>
    </x:row>
    <x:row r="15" ht="42" customHeight="1">
      <x:c r="A15" s="8" t="str">
        <x:v>数据字典与源表映射</x:v>
      </x:c>
      <x:c r="B15" s="8" t="str">
        <x:v>工作文件夹 / 文档附件</x:v>
      </x:c>
      <x:c r="C15" s="16" t="str">
        <x:v>A</x:v>
      </x:c>
      <x:c r="D15" s="16" t="str">
        <x:v>R</x:v>
      </x:c>
      <x:c r="E15" s="16" t="str">
        <x:v>D1</x:v>
      </x:c>
      <x:c r="F15" s="8" t="str">
        <x:v>字段覆盖与未决项</x:v>
      </x:c>
    </x:row>
    <x:row r="16" ht="42" customHeight="1">
      <x:c r="A16" s="8" t="str">
        <x:v>接口冻结表</x:v>
      </x:c>
      <x:c r="B16" s="8" t="str">
        <x:v>工作文件夹 / 开发规划附件</x:v>
      </x:c>
      <x:c r="C16" s="16" t="str">
        <x:v>R</x:v>
      </x:c>
      <x:c r="D16" s="16" t="str">
        <x:v>A/B/C</x:v>
      </x:c>
      <x:c r="E16" s="16" t="str">
        <x:v>D2</x:v>
      </x:c>
      <x:c r="F16" s="8" t="str">
        <x:v>输入输出与禁止职责</x:v>
      </x:c>
    </x:row>
    <x:row r="17" ht="42" customHeight="1">
      <x:c r="A17" s="8" t="str">
        <x:v>脱敏测试数据</x:v>
      </x:c>
      <x:c r="B17" s="8" t="str">
        <x:v>开发程序 / tests/data</x:v>
      </x:c>
      <x:c r="C17" s="16" t="str">
        <x:v>C</x:v>
      </x:c>
      <x:c r="D17" s="16" t="str">
        <x:v>R</x:v>
      </x:c>
      <x:c r="E17" s="16" t="str">
        <x:v>D4</x:v>
      </x:c>
      <x:c r="F17" s="8" t="str">
        <x:v>期望结果与版本</x:v>
      </x:c>
    </x:row>
    <x:row r="18" ht="42" customHeight="1">
      <x:c r="A18" s="8" t="str">
        <x:v>三类默认模板</x:v>
      </x:c>
      <x:c r="B18" s="8" t="str">
        <x:v>程序数据 / templates</x:v>
      </x:c>
      <x:c r="C18" s="16" t="str">
        <x:v>B</x:v>
      </x:c>
      <x:c r="D18" s="16" t="str">
        <x:v>R</x:v>
      </x:c>
      <x:c r="E18" s="16" t="str">
        <x:v>D5</x:v>
      </x:c>
      <x:c r="F18" s="8" t="str">
        <x:v>A4 逐页检查</x:v>
      </x:c>
    </x:row>
    <x:row r="19" ht="42" customHeight="1">
      <x:c r="A19" s="8" t="str">
        <x:v>候选包与依赖检查</x:v>
      </x:c>
      <x:c r="B19" s="8" t="str">
        <x:v>开发程序 / dist</x:v>
      </x:c>
      <x:c r="C19" s="16" t="str">
        <x:v>C</x:v>
      </x:c>
      <x:c r="D19" s="16" t="str">
        <x:v>R</x:v>
      </x:c>
      <x:c r="E19" s="16" t="str">
        <x:v>D6</x:v>
      </x:c>
      <x:c r="F19" s="8" t="str">
        <x:v>Win7 SP1 x86/x64 L3</x:v>
      </x:c>
    </x:row>
    <x:row r="20" ht="42" customHeight="1">
      <x:c r="A20" s="8" t="str">
        <x:v>用户/管理员手册</x:v>
      </x:c>
      <x:c r="B20" s="8" t="str">
        <x:v>工作文件夹 / 交付材料</x:v>
      </x:c>
      <x:c r="C20" s="16" t="str">
        <x:v>B</x:v>
      </x:c>
      <x:c r="D20" s="16" t="str">
        <x:v>R</x:v>
      </x:c>
      <x:c r="E20" s="16" t="str">
        <x:v>D7</x:v>
      </x:c>
      <x:c r="F20" s="8" t="str">
        <x:v>独立操作记录</x:v>
      </x:c>
    </x:row>
    <x:row r="21" ht="42" customHeight="1">
      <x:c r="A21" s="8" t="str">
        <x:v>验收报告与遗留清单</x:v>
      </x:c>
      <x:c r="B21" s="8" t="str">
        <x:v>工作文件夹 / 交付材料</x:v>
      </x:c>
      <x:c r="C21" s="16" t="str">
        <x:v>R</x:v>
      </x:c>
      <x:c r="D21" s="16" t="str">
        <x:v>A/B/C</x:v>
      </x:c>
      <x:c r="E21" s="16" t="str">
        <x:v>D7</x:v>
      </x:c>
      <x:c r="F21" s="8" t="str">
        <x:v>签认、TD 编号、后续入口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19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8" hidden="0" customWidth="1"/>
    <x:col min="9" max="9" width="24" hidden="0" customWidth="1"/>
    <x:col min="10" max="10" width="16" hidden="0" customWidth="1"/>
    <x:col min="11" max="11" width="28" hidden="0" customWidth="1"/>
  </x:cols>
  <x:sheetData>
    <x:row r="2" ht="28" customHeight="1">
      <x:c r="A2" s="2" t="str">
        <x:v>技术债登记</x:v>
      </x:c>
    </x:row>
    <x:row r="3" ht="21" customHeight="1">
      <x:c r="A3" s="4" t="str">
        <x:v>先登记本表，再在获得授权后创建同编号 GitHub Issue。编号 TD-年份-三位流水号；本台账不执行 Issue、分支、提交或 PR。</x:v>
      </x:c>
    </x:row>
    <x:row r="5" ht="34" customHeight="1">
      <x:c r="A5" s="15" t="str">
        <x:v>技术债编号</x:v>
      </x:c>
      <x:c r="B5" s="15" t="str">
        <x:v>标题</x:v>
      </x:c>
      <x:c r="C5" s="15" t="str">
        <x:v>类别</x:v>
      </x:c>
      <x:c r="D5" s="15" t="str">
        <x:v>严重度</x:v>
      </x:c>
      <x:c r="E5" s="15" t="str">
        <x:v>状态</x:v>
      </x:c>
      <x:c r="F5" s="15" t="str">
        <x:v>责任人</x:v>
      </x:c>
      <x:c r="G5" s="15" t="str">
        <x:v>复核人</x:v>
      </x:c>
      <x:c r="H5" s="15" t="str">
        <x:v>关联任务/Gate</x:v>
      </x:c>
      <x:c r="I5" s="15" t="str">
        <x:v>关联 PR/提交</x:v>
      </x:c>
      <x:c r="J5" s="15" t="str">
        <x:v>计划关闭日</x:v>
      </x:c>
      <x:c r="K5" s="15" t="str">
        <x:v>关闭验收</x:v>
      </x:c>
    </x:row>
    <x:row r="6" ht="35" customHeight="1">
      <x:c r="A6" s="20" t="str"/>
      <x:c r="B6" s="20" t="str"/>
      <x:c r="C6" s="20" t="str">
        <x:v>架构</x:v>
      </x:c>
      <x:c r="D6" s="20" t="str">
        <x:v>低</x:v>
      </x:c>
      <x:c r="E6" s="20" t="str">
        <x:v>待登记</x:v>
      </x:c>
      <x:c r="F6" s="20" t="str"/>
      <x:c r="G6" s="20" t="str">
        <x:v>R</x:v>
      </x:c>
      <x:c r="H6" s="20" t="str"/>
      <x:c r="I6" s="20" t="str"/>
      <x:c r="J6" s="22" t="str"/>
      <x:c r="K6" s="20" t="str"/>
    </x:row>
    <x:row r="7" ht="35" customHeight="1">
      <x:c r="A7" s="20" t="str"/>
      <x:c r="B7" s="20" t="str"/>
      <x:c r="C7" s="20" t="str">
        <x:v>架构</x:v>
      </x:c>
      <x:c r="D7" s="20" t="str">
        <x:v>低</x:v>
      </x:c>
      <x:c r="E7" s="20" t="str">
        <x:v>待登记</x:v>
      </x:c>
      <x:c r="F7" s="20" t="str"/>
      <x:c r="G7" s="20" t="str">
        <x:v>R</x:v>
      </x:c>
      <x:c r="H7" s="20" t="str"/>
      <x:c r="I7" s="20" t="str"/>
      <x:c r="J7" s="22" t="str"/>
      <x:c r="K7" s="20" t="str"/>
    </x:row>
    <x:row r="8" ht="35" customHeight="1">
      <x:c r="A8" s="20" t="str"/>
      <x:c r="B8" s="20" t="str"/>
      <x:c r="C8" s="20" t="str">
        <x:v>架构</x:v>
      </x:c>
      <x:c r="D8" s="20" t="str">
        <x:v>低</x:v>
      </x:c>
      <x:c r="E8" s="20" t="str">
        <x:v>待登记</x:v>
      </x:c>
      <x:c r="F8" s="20" t="str"/>
      <x:c r="G8" s="20" t="str">
        <x:v>R</x:v>
      </x:c>
      <x:c r="H8" s="20" t="str"/>
      <x:c r="I8" s="20" t="str"/>
      <x:c r="J8" s="22" t="str"/>
      <x:c r="K8" s="20" t="str"/>
    </x:row>
    <x:row r="9" ht="35" customHeight="1">
      <x:c r="A9" s="20" t="str"/>
      <x:c r="B9" s="20" t="str"/>
      <x:c r="C9" s="20" t="str">
        <x:v>架构</x:v>
      </x:c>
      <x:c r="D9" s="20" t="str">
        <x:v>低</x:v>
      </x:c>
      <x:c r="E9" s="20" t="str">
        <x:v>待登记</x:v>
      </x:c>
      <x:c r="F9" s="20" t="str"/>
      <x:c r="G9" s="20" t="str">
        <x:v>R</x:v>
      </x:c>
      <x:c r="H9" s="20" t="str"/>
      <x:c r="I9" s="20" t="str"/>
      <x:c r="J9" s="22" t="str"/>
      <x:c r="K9" s="20" t="str"/>
    </x:row>
    <x:row r="10" ht="35" customHeight="1">
      <x:c r="A10" s="20" t="str"/>
      <x:c r="B10" s="20" t="str"/>
      <x:c r="C10" s="20" t="str">
        <x:v>架构</x:v>
      </x:c>
      <x:c r="D10" s="20" t="str">
        <x:v>低</x:v>
      </x:c>
      <x:c r="E10" s="20" t="str">
        <x:v>待登记</x:v>
      </x:c>
      <x:c r="F10" s="20" t="str"/>
      <x:c r="G10" s="20" t="str">
        <x:v>R</x:v>
      </x:c>
      <x:c r="H10" s="20" t="str"/>
      <x:c r="I10" s="20" t="str"/>
      <x:c r="J10" s="22" t="str"/>
      <x:c r="K10" s="20" t="str"/>
    </x:row>
    <x:row r="11" ht="35" customHeight="1">
      <x:c r="A11" s="20" t="str"/>
      <x:c r="B11" s="20" t="str"/>
      <x:c r="C11" s="20" t="str">
        <x:v>架构</x:v>
      </x:c>
      <x:c r="D11" s="20" t="str">
        <x:v>低</x:v>
      </x:c>
      <x:c r="E11" s="20" t="str">
        <x:v>待登记</x:v>
      </x:c>
      <x:c r="F11" s="20" t="str"/>
      <x:c r="G11" s="20" t="str">
        <x:v>R</x:v>
      </x:c>
      <x:c r="H11" s="20" t="str"/>
      <x:c r="I11" s="20" t="str"/>
      <x:c r="J11" s="22" t="str"/>
      <x:c r="K11" s="20" t="str"/>
    </x:row>
    <x:row r="12" ht="35" customHeight="1">
      <x:c r="A12" s="20" t="str"/>
      <x:c r="B12" s="20" t="str"/>
      <x:c r="C12" s="20" t="str">
        <x:v>架构</x:v>
      </x:c>
      <x:c r="D12" s="20" t="str">
        <x:v>低</x:v>
      </x:c>
      <x:c r="E12" s="20" t="str">
        <x:v>待登记</x:v>
      </x:c>
      <x:c r="F12" s="20" t="str"/>
      <x:c r="G12" s="20" t="str">
        <x:v>R</x:v>
      </x:c>
      <x:c r="H12" s="20" t="str"/>
      <x:c r="I12" s="20" t="str"/>
      <x:c r="J12" s="22" t="str"/>
      <x:c r="K12" s="20" t="str"/>
    </x:row>
    <x:row r="13" ht="35" customHeight="1">
      <x:c r="A13" s="20" t="str"/>
      <x:c r="B13" s="20" t="str"/>
      <x:c r="C13" s="20" t="str">
        <x:v>架构</x:v>
      </x:c>
      <x:c r="D13" s="20" t="str">
        <x:v>低</x:v>
      </x:c>
      <x:c r="E13" s="20" t="str">
        <x:v>待登记</x:v>
      </x:c>
      <x:c r="F13" s="20" t="str"/>
      <x:c r="G13" s="20" t="str">
        <x:v>R</x:v>
      </x:c>
      <x:c r="H13" s="20" t="str"/>
      <x:c r="I13" s="20" t="str"/>
      <x:c r="J13" s="22" t="str"/>
      <x:c r="K13" s="20" t="str"/>
    </x:row>
    <x:row r="14" ht="35" customHeight="1">
      <x:c r="A14" s="20" t="str"/>
      <x:c r="B14" s="20" t="str"/>
      <x:c r="C14" s="20" t="str">
        <x:v>架构</x:v>
      </x:c>
      <x:c r="D14" s="20" t="str">
        <x:v>低</x:v>
      </x:c>
      <x:c r="E14" s="20" t="str">
        <x:v>待登记</x:v>
      </x:c>
      <x:c r="F14" s="20" t="str"/>
      <x:c r="G14" s="20" t="str">
        <x:v>R</x:v>
      </x:c>
      <x:c r="H14" s="20" t="str"/>
      <x:c r="I14" s="20" t="str"/>
      <x:c r="J14" s="22" t="str"/>
      <x:c r="K14" s="20" t="str"/>
    </x:row>
    <x:row r="15" ht="35" customHeight="1">
      <x:c r="A15" s="20" t="str"/>
      <x:c r="B15" s="20" t="str"/>
      <x:c r="C15" s="20" t="str">
        <x:v>架构</x:v>
      </x:c>
      <x:c r="D15" s="20" t="str">
        <x:v>低</x:v>
      </x:c>
      <x:c r="E15" s="20" t="str">
        <x:v>待登记</x:v>
      </x:c>
      <x:c r="F15" s="20" t="str"/>
      <x:c r="G15" s="20" t="str">
        <x:v>R</x:v>
      </x:c>
      <x:c r="H15" s="20" t="str"/>
      <x:c r="I15" s="20" t="str"/>
      <x:c r="J15" s="22" t="str"/>
      <x:c r="K15" s="20" t="str"/>
    </x:row>
    <x:row r="17">
      <x:c r="A17" s="15" t="str">
        <x:v>命名对象</x:v>
      </x:c>
      <x:c r="B17" s="15" t="str">
        <x:v>强制格式</x:v>
      </x:c>
      <x:c r="C17" s="15" t="str">
        <x:v>示例</x:v>
      </x:c>
      <x:c r="D17" s="15" t="str">
        <x:v>使用条件</x:v>
      </x:c>
    </x:row>
    <x:row r="18">
      <x:c r="A18" s="8" t="str">
        <x:v>分支</x:v>
      </x:c>
      <x:c r="B18" s="8" t="str">
        <x:v>类型/简短中文主题</x:v>
      </x:c>
      <x:c r="C18" s="8" t="str">
        <x:v>feat/实现Excel导入预检</x:v>
      </x:c>
      <x:c r="D18" s="8" t="str">
        <x:v>获得创建分支授权后</x:v>
      </x:c>
    </x:row>
    <x:row r="19">
      <x:c r="A19" s="8" t="str">
        <x:v>提交 / PR</x:v>
      </x:c>
      <x:c r="B19" s="8" t="str">
        <x:v>类型: 中文变更摘要</x:v>
      </x:c>
      <x:c r="C19" s="8" t="str">
        <x:v>feat: 实现Excel导入预检</x:v>
      </x:c>
      <x:c r="D19" s="8" t="str">
        <x:v>获得提交/推送/创建 PR 的逐项授权后</x:v>
      </x:c>
    </x:row>
    <x:row r="20">
      <x:c r="A20" s="8" t="str">
        <x:v>技术债</x:v>
      </x:c>
      <x:c r="B20" s="8" t="str">
        <x:v>TD-年份-三位流水号</x:v>
      </x:c>
      <x:c r="C20" s="8" t="str">
        <x:v>TD-2026-001</x:v>
      </x:c>
      <x:c r="D20" s="8" t="str">
        <x:v>先登记本表，再按同编号创建 Issue</x:v>
      </x:c>
    </x:row>
  </x:sheetData>
  <x:mergeCells>
    <x:mergeCell ref="A2:K2"/>
    <x:mergeCell ref="A3:K3"/>
  </x:mergeCells>
  <x:dataValidations count="3">
    <x:dataValidation type="list" sqref="C6:C15">
      <x:formula1>"架构,质量,测试,文档"</x:formula1>
    </x:dataValidation>
    <x:dataValidation type="list" sqref="D6:D15">
      <x:formula1>"低,中,高"</x:formula1>
    </x:dataValidation>
    <x:dataValidation type="list" sqref="E6:E15">
      <x:formula1>"待登记,已登记,处理中,已关闭"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07bdad44524192"/>
  </x:tableParts>
</x:worksheet>
</file>